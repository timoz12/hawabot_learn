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bal Variables" sheetId="1" state="visible" r:id="rId1"/>
    <sheet name="Section Boundaries" sheetId="2" state="visible" r:id="rId2"/>
    <sheet name="Joint Clearan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3B82F6"/>
      <sz val="11"/>
    </font>
    <font>
      <sz val="11"/>
    </font>
    <font>
      <name val="Consolas"/>
      <sz val="11"/>
    </font>
    <font>
      <b val="1"/>
      <sz val="11"/>
    </font>
    <font>
      <i val="1"/>
      <color rgb="00666666"/>
      <sz val="10"/>
    </font>
  </fonts>
  <fills count="4">
    <fill>
      <patternFill/>
    </fill>
    <fill>
      <patternFill patternType="gray125"/>
    </fill>
    <fill>
      <patternFill patternType="solid">
        <fgColor rgb="001E3A5F"/>
        <bgColor rgb="001E3A5F"/>
      </patternFill>
    </fill>
    <fill>
      <patternFill patternType="solid">
        <fgColor rgb="000F172A"/>
        <bgColor rgb="000F172A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0" fillId="3" borderId="0" pivotButton="0" quotePrefix="0" xfId="0"/>
    <xf numFmtId="0" fontId="3" fillId="0" borderId="1" pivotButton="0" quotePrefix="0" xfId="0"/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  <xf numFmtId="0" fontId="1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8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50" customWidth="1" min="4" max="4"/>
  </cols>
  <sheetData>
    <row r="1">
      <c r="A1" s="1" t="inlineStr">
        <is>
          <t>Variable Name</t>
        </is>
      </c>
      <c r="B1" s="1" t="inlineStr">
        <is>
          <t>SW Equation Name</t>
        </is>
      </c>
      <c r="C1" s="1" t="inlineStr">
        <is>
          <t>Value</t>
        </is>
      </c>
      <c r="D1" s="1" t="inlineStr">
        <is>
          <t>Description</t>
        </is>
      </c>
    </row>
    <row r="3">
      <c r="A3" s="2" t="inlineStr">
        <is>
          <t>TOLERANCES &amp; CLEARANCES</t>
        </is>
      </c>
      <c r="B3" s="3" t="n"/>
      <c r="C3" s="3" t="n"/>
      <c r="D3" s="3" t="n"/>
    </row>
    <row r="4">
      <c r="A4" s="4" t="inlineStr">
        <is>
          <t>Wall clearance</t>
        </is>
      </c>
      <c r="B4" s="5" t="inlineStr">
        <is>
          <t>C_wall</t>
        </is>
      </c>
      <c r="C4" s="6" t="n">
        <v>0.3</v>
      </c>
      <c r="D4" s="7" t="inlineStr">
        <is>
          <t>Gap between servo body and cavity wall (mm)</t>
        </is>
      </c>
    </row>
    <row r="5">
      <c r="A5" s="4" t="inlineStr">
        <is>
          <t>Min shell wall</t>
        </is>
      </c>
      <c r="B5" s="5" t="inlineStr">
        <is>
          <t>T_wall</t>
        </is>
      </c>
      <c r="C5" s="6" t="n">
        <v>2.5</v>
      </c>
      <c r="D5" s="7" t="inlineStr">
        <is>
          <t>Minimum printable wall thickness (mm)</t>
        </is>
      </c>
    </row>
    <row r="6">
      <c r="A6" s="4" t="inlineStr">
        <is>
          <t>Wire channel dia</t>
        </is>
      </c>
      <c r="B6" s="5" t="inlineStr">
        <is>
          <t>D_wire</t>
        </is>
      </c>
      <c r="C6" s="6" t="n">
        <v>6</v>
      </c>
      <c r="D6" s="7" t="inlineStr">
        <is>
          <t>Fits 3-4 servo cables side by side (mm)</t>
        </is>
      </c>
    </row>
    <row r="7">
      <c r="A7" s="4" t="inlineStr">
        <is>
          <t>Screw hole dia</t>
        </is>
      </c>
      <c r="B7" s="5" t="inlineStr">
        <is>
          <t>D_screw</t>
        </is>
      </c>
      <c r="C7" s="6" t="n">
        <v>2</v>
      </c>
      <c r="D7" s="7" t="inlineStr">
        <is>
          <t>M2 screws throughout (mm)</t>
        </is>
      </c>
    </row>
    <row r="8">
      <c r="A8" s="4" t="inlineStr">
        <is>
          <t>Snap-fit clearance</t>
        </is>
      </c>
      <c r="B8" s="5" t="inlineStr">
        <is>
          <t>C_snap</t>
        </is>
      </c>
      <c r="C8" s="6" t="n">
        <v>0.2</v>
      </c>
      <c r="D8" s="7" t="inlineStr">
        <is>
          <t>Between mating snap-fit surfaces (mm)</t>
        </is>
      </c>
    </row>
    <row r="9">
      <c r="A9" s="4" t="inlineStr">
        <is>
          <t>Scale factor</t>
        </is>
      </c>
      <c r="B9" s="5" t="inlineStr">
        <is>
          <t>S</t>
        </is>
      </c>
      <c r="C9" s="6" t="n">
        <v>1</v>
      </c>
      <c r="D9" s="7" t="inlineStr">
        <is>
          <t>Multiply all dims by S to resize skeleton</t>
        </is>
      </c>
    </row>
    <row r="10">
      <c r="A10" s="4" t="inlineStr">
        <is>
          <t>Section overlap</t>
        </is>
      </c>
      <c r="B10" s="5" t="inlineStr">
        <is>
          <t>SECTION_OVERLAP</t>
        </is>
      </c>
      <c r="C10" s="6" t="n">
        <v>2</v>
      </c>
      <c r="D10" s="7" t="inlineStr">
        <is>
          <t>Overlap between adjacent sections (mm)</t>
        </is>
      </c>
    </row>
    <row r="12">
      <c r="A12" s="2" t="inlineStr">
        <is>
          <t>BASE PLATE</t>
        </is>
      </c>
      <c r="B12" s="3" t="n"/>
      <c r="C12" s="3" t="n"/>
      <c r="D12" s="3" t="n"/>
    </row>
    <row r="13">
      <c r="A13" s="4" t="inlineStr">
        <is>
          <t>Base width</t>
        </is>
      </c>
      <c r="B13" s="5" t="inlineStr">
        <is>
          <t>BASE_W</t>
        </is>
      </c>
      <c r="C13" s="6" t="n">
        <v>80</v>
      </c>
      <c r="D13" s="7" t="inlineStr">
        <is>
          <t>Stability footprint, X axis (mm)</t>
        </is>
      </c>
    </row>
    <row r="14">
      <c r="A14" s="4" t="inlineStr">
        <is>
          <t>Base depth</t>
        </is>
      </c>
      <c r="B14" s="5" t="inlineStr">
        <is>
          <t>BASE_D</t>
        </is>
      </c>
      <c r="C14" s="6" t="n">
        <v>60</v>
      </c>
      <c r="D14" s="7" t="inlineStr">
        <is>
          <t>Front-to-back, Y axis (mm)</t>
        </is>
      </c>
    </row>
    <row r="15">
      <c r="A15" s="4" t="inlineStr">
        <is>
          <t>Base height</t>
        </is>
      </c>
      <c r="B15" s="5" t="inlineStr">
        <is>
          <t>BASE_H</t>
        </is>
      </c>
      <c r="C15" s="6" t="n">
        <v>10</v>
      </c>
      <c r="D15" s="7" t="inlineStr">
        <is>
          <t>Thick enough for Pico + wiring (mm)</t>
        </is>
      </c>
    </row>
    <row r="16">
      <c r="A16" s="4" t="inlineStr">
        <is>
          <t>Base corner radius</t>
        </is>
      </c>
      <c r="B16" s="5" t="inlineStr">
        <is>
          <t>BASE_R</t>
        </is>
      </c>
      <c r="C16" s="6" t="n">
        <v>5</v>
      </c>
      <c r="D16" s="7" t="inlineStr">
        <is>
          <t>Rounded corners (mm)</t>
        </is>
      </c>
    </row>
    <row r="18">
      <c r="A18" s="2" t="inlineStr">
        <is>
          <t>TORSO</t>
        </is>
      </c>
      <c r="B18" s="3" t="n"/>
      <c r="C18" s="3" t="n"/>
      <c r="D18" s="3" t="n"/>
    </row>
    <row r="19">
      <c r="A19" s="4" t="inlineStr">
        <is>
          <t>Torso diameter</t>
        </is>
      </c>
      <c r="B19" s="5" t="inlineStr">
        <is>
          <t>TORSO_D</t>
        </is>
      </c>
      <c r="C19" s="6" t="n">
        <v>20</v>
      </c>
      <c r="D19" s="7" t="inlineStr">
        <is>
          <t>Central structural post (mm)</t>
        </is>
      </c>
    </row>
    <row r="20">
      <c r="A20" s="4" t="inlineStr">
        <is>
          <t>Torso height</t>
        </is>
      </c>
      <c r="B20" s="5" t="inlineStr">
        <is>
          <t>TORSO_H</t>
        </is>
      </c>
      <c r="C20" s="6" t="n">
        <v>60</v>
      </c>
      <c r="D20" s="7" t="inlineStr">
        <is>
          <t>From waist to shoulders (mm)</t>
        </is>
      </c>
    </row>
    <row r="22">
      <c r="A22" s="2" t="inlineStr">
        <is>
          <t>JOINT POSITIONS (Z = height from base top)</t>
        </is>
      </c>
      <c r="B22" s="3" t="n"/>
      <c r="C22" s="3" t="n"/>
      <c r="D22" s="3" t="n"/>
    </row>
    <row r="23">
      <c r="A23" s="4" t="inlineStr">
        <is>
          <t>Waist servo Z</t>
        </is>
      </c>
      <c r="B23" s="5" t="inlineStr">
        <is>
          <t>WAIST_Z</t>
        </is>
      </c>
      <c r="C23" s="6" t="n">
        <v>5</v>
      </c>
      <c r="D23" s="7" t="inlineStr">
        <is>
          <t>Just above base surface (mm)</t>
        </is>
      </c>
    </row>
    <row r="24">
      <c r="A24" s="4" t="inlineStr">
        <is>
          <t>Shoulder Z</t>
        </is>
      </c>
      <c r="B24" s="5" t="inlineStr">
        <is>
          <t>SHOULDER_Z</t>
        </is>
      </c>
      <c r="C24" s="6" t="n">
        <v>55</v>
      </c>
      <c r="D24" s="7" t="inlineStr">
        <is>
          <t>Height of shoulder joint axis (mm)</t>
        </is>
      </c>
    </row>
    <row r="25">
      <c r="A25" s="4" t="inlineStr">
        <is>
          <t>Shoulder spread X</t>
        </is>
      </c>
      <c r="B25" s="5" t="inlineStr">
        <is>
          <t>SHOULDER_X</t>
        </is>
      </c>
      <c r="C25" s="6" t="n">
        <v>35</v>
      </c>
      <c r="D25" s="7" t="inlineStr">
        <is>
          <t>Distance from center to each shoulder (mm)</t>
        </is>
      </c>
    </row>
    <row r="26">
      <c r="A26" s="4" t="inlineStr">
        <is>
          <t>Head pan Z</t>
        </is>
      </c>
      <c r="B26" s="5" t="inlineStr">
        <is>
          <t>HEAD_PAN_Z</t>
        </is>
      </c>
      <c r="C26" s="6" t="n">
        <v>65</v>
      </c>
      <c r="D26" s="7" t="inlineStr">
        <is>
          <t>Top of torso, yaw rotation (mm)</t>
        </is>
      </c>
    </row>
    <row r="27">
      <c r="A27" s="4" t="inlineStr">
        <is>
          <t>Head tilt Z</t>
        </is>
      </c>
      <c r="B27" s="5" t="inlineStr">
        <is>
          <t>HEAD_TILT_Z</t>
        </is>
      </c>
      <c r="C27" s="6" t="n">
        <v>93</v>
      </c>
      <c r="D27" s="7" t="inlineStr">
        <is>
          <t>Above pan servo, pitch rotation (mm)</t>
        </is>
      </c>
    </row>
    <row r="29">
      <c r="A29" s="2" t="inlineStr">
        <is>
          <t>SG90 SERVO (head pan, head tilt, waist)</t>
        </is>
      </c>
      <c r="B29" s="3" t="n"/>
      <c r="C29" s="3" t="n"/>
      <c r="D29" s="3" t="n"/>
    </row>
    <row r="30">
      <c r="A30" s="4" t="inlineStr">
        <is>
          <t>Body length</t>
        </is>
      </c>
      <c r="B30" s="5" t="inlineStr">
        <is>
          <t>SG90_L</t>
        </is>
      </c>
      <c r="C30" s="6" t="n">
        <v>22.7</v>
      </c>
      <c r="D30" s="7" t="inlineStr">
        <is>
          <t>Front-to-back (mm)</t>
        </is>
      </c>
    </row>
    <row r="31">
      <c r="A31" s="4" t="inlineStr">
        <is>
          <t>Body width</t>
        </is>
      </c>
      <c r="B31" s="5" t="inlineStr">
        <is>
          <t>SG90_W</t>
        </is>
      </c>
      <c r="C31" s="6" t="n">
        <v>12.2</v>
      </c>
      <c r="D31" s="7" t="inlineStr">
        <is>
          <t>Side-to-side (mm)</t>
        </is>
      </c>
    </row>
    <row r="32">
      <c r="A32" s="4" t="inlineStr">
        <is>
          <t>Body height</t>
        </is>
      </c>
      <c r="B32" s="5" t="inlineStr">
        <is>
          <t>SG90_H</t>
        </is>
      </c>
      <c r="C32" s="6" t="n">
        <v>27</v>
      </c>
      <c r="D32" s="7" t="inlineStr">
        <is>
          <t>Bottom to case top, no shaft (mm)</t>
        </is>
      </c>
    </row>
    <row r="33">
      <c r="A33" s="4" t="inlineStr">
        <is>
          <t>Total height</t>
        </is>
      </c>
      <c r="B33" s="5" t="inlineStr">
        <is>
          <t>SG90_H_total</t>
        </is>
      </c>
      <c r="C33" s="6" t="n">
        <v>32.3</v>
      </c>
      <c r="D33" s="7" t="inlineStr">
        <is>
          <t>Bottom to spline top (mm)</t>
        </is>
      </c>
    </row>
    <row r="34">
      <c r="A34" s="4" t="inlineStr">
        <is>
          <t>Tab-to-tab length</t>
        </is>
      </c>
      <c r="B34" s="5" t="inlineStr">
        <is>
          <t>SG90_tab_L</t>
        </is>
      </c>
      <c r="C34" s="6" t="n">
        <v>32.3</v>
      </c>
      <c r="D34" s="7" t="inlineStr">
        <is>
          <t>Including mounting tabs (mm)</t>
        </is>
      </c>
    </row>
    <row r="35">
      <c r="A35" s="4" t="inlineStr">
        <is>
          <t>Tab thickness</t>
        </is>
      </c>
      <c r="B35" s="5" t="inlineStr">
        <is>
          <t>SG90_tab_T</t>
        </is>
      </c>
      <c r="C35" s="6" t="n">
        <v>2.8</v>
      </c>
      <c r="D35" s="7" t="inlineStr">
        <is>
          <t>Mounting tab thickness (mm)</t>
        </is>
      </c>
    </row>
    <row r="36">
      <c r="A36" s="4" t="inlineStr">
        <is>
          <t>Tab underside Z</t>
        </is>
      </c>
      <c r="B36" s="5" t="inlineStr">
        <is>
          <t>SG90_tab_Z</t>
        </is>
      </c>
      <c r="C36" s="6" t="n">
        <v>17</v>
      </c>
      <c r="D36" s="7" t="inlineStr">
        <is>
          <t>Height from bottom to tab underside (mm)</t>
        </is>
      </c>
    </row>
    <row r="37">
      <c r="A37" s="4" t="inlineStr">
        <is>
          <t>Mounting hole dia</t>
        </is>
      </c>
      <c r="B37" s="5" t="inlineStr">
        <is>
          <t>SG90_hole_D</t>
        </is>
      </c>
      <c r="C37" s="6" t="n">
        <v>2</v>
      </c>
      <c r="D37" s="7" t="inlineStr">
        <is>
          <t>Tab screw hole (mm)</t>
        </is>
      </c>
    </row>
    <row r="38">
      <c r="A38" s="4" t="inlineStr">
        <is>
          <t>Hole inset from edge</t>
        </is>
      </c>
      <c r="B38" s="5" t="inlineStr">
        <is>
          <t>SG90_hole_inset</t>
        </is>
      </c>
      <c r="C38" s="6" t="n">
        <v>2</v>
      </c>
      <c r="D38" s="7" t="inlineStr">
        <is>
          <t>Hole center from tab edge (mm)</t>
        </is>
      </c>
    </row>
    <row r="39">
      <c r="A39" s="4" t="inlineStr">
        <is>
          <t>Shaft offset</t>
        </is>
      </c>
      <c r="B39" s="5" t="inlineStr">
        <is>
          <t>SG90_shaft_offset</t>
        </is>
      </c>
      <c r="C39" s="6" t="n">
        <v>6.2</v>
      </c>
      <c r="D39" s="7" t="inlineStr">
        <is>
          <t>Shaft center from front face (mm)</t>
        </is>
      </c>
    </row>
    <row r="40">
      <c r="A40" s="4" t="inlineStr">
        <is>
          <t>Spline OD</t>
        </is>
      </c>
      <c r="B40" s="5" t="inlineStr">
        <is>
          <t>SG90_spline_OD</t>
        </is>
      </c>
      <c r="C40" s="6" t="n">
        <v>4.8</v>
      </c>
      <c r="D40" s="7" t="inlineStr">
        <is>
          <t>Output shaft outer diameter (mm)</t>
        </is>
      </c>
    </row>
    <row r="41">
      <c r="A41" s="4" t="inlineStr">
        <is>
          <t>Turret height</t>
        </is>
      </c>
      <c r="B41" s="5" t="inlineStr">
        <is>
          <t>SG90_turret_H</t>
        </is>
      </c>
      <c r="C41" s="6" t="n">
        <v>5.96</v>
      </c>
      <c r="D41" s="7" t="inlineStr">
        <is>
          <t>Cylinder above body (mm)</t>
        </is>
      </c>
    </row>
    <row r="42">
      <c r="A42" s="4" t="inlineStr">
        <is>
          <t>Turret diameter</t>
        </is>
      </c>
      <c r="B42" s="5" t="inlineStr">
        <is>
          <t>SG90_turret_D</t>
        </is>
      </c>
      <c r="C42" s="6" t="n">
        <v>11.8</v>
      </c>
      <c r="D42" s="7" t="inlineStr">
        <is>
          <t>Turret outer diameter (mm)</t>
        </is>
      </c>
    </row>
    <row r="44">
      <c r="A44" s="2" t="inlineStr">
        <is>
          <t>MG90S SERVO (left shoulder, right shoulder)</t>
        </is>
      </c>
      <c r="B44" s="3" t="n"/>
      <c r="C44" s="3" t="n"/>
      <c r="D44" s="3" t="n"/>
    </row>
    <row r="45">
      <c r="A45" s="4" t="inlineStr">
        <is>
          <t>Body length</t>
        </is>
      </c>
      <c r="B45" s="5" t="inlineStr">
        <is>
          <t>MG90S_L</t>
        </is>
      </c>
      <c r="C45" s="6" t="n">
        <v>22.8</v>
      </c>
      <c r="D45" s="7" t="inlineStr">
        <is>
          <t>Front-to-back (mm)</t>
        </is>
      </c>
    </row>
    <row r="46">
      <c r="A46" s="4" t="inlineStr">
        <is>
          <t>Body width</t>
        </is>
      </c>
      <c r="B46" s="5" t="inlineStr">
        <is>
          <t>MG90S_W</t>
        </is>
      </c>
      <c r="C46" s="6" t="n">
        <v>12.4</v>
      </c>
      <c r="D46" s="7" t="inlineStr">
        <is>
          <t>Side-to-side (mm)</t>
        </is>
      </c>
    </row>
    <row r="47">
      <c r="A47" s="4" t="inlineStr">
        <is>
          <t>Body height</t>
        </is>
      </c>
      <c r="B47" s="5" t="inlineStr">
        <is>
          <t>MG90S_H</t>
        </is>
      </c>
      <c r="C47" s="6" t="n">
        <v>28.4</v>
      </c>
      <c r="D47" s="7" t="inlineStr">
        <is>
          <t>Bottom to case top, no shaft (mm)</t>
        </is>
      </c>
    </row>
    <row r="48">
      <c r="A48" s="4" t="inlineStr">
        <is>
          <t>Total height</t>
        </is>
      </c>
      <c r="B48" s="5" t="inlineStr">
        <is>
          <t>MG90S_H_total</t>
        </is>
      </c>
      <c r="C48" s="6" t="n">
        <v>32.5</v>
      </c>
      <c r="D48" s="7" t="inlineStr">
        <is>
          <t>Bottom to spline top (mm)</t>
        </is>
      </c>
    </row>
    <row r="49">
      <c r="A49" s="4" t="inlineStr">
        <is>
          <t>Tab-to-tab length</t>
        </is>
      </c>
      <c r="B49" s="5" t="inlineStr">
        <is>
          <t>MG90S_tab_L</t>
        </is>
      </c>
      <c r="C49" s="6" t="n">
        <v>32.1</v>
      </c>
      <c r="D49" s="7" t="inlineStr">
        <is>
          <t>Including mounting tabs (mm)</t>
        </is>
      </c>
    </row>
    <row r="50">
      <c r="A50" s="4" t="inlineStr">
        <is>
          <t>Tab thickness</t>
        </is>
      </c>
      <c r="B50" s="5" t="inlineStr">
        <is>
          <t>MG90S_tab_T</t>
        </is>
      </c>
      <c r="C50" s="6" t="n">
        <v>2.8</v>
      </c>
      <c r="D50" s="7" t="inlineStr">
        <is>
          <t>Mounting tab thickness (mm)</t>
        </is>
      </c>
    </row>
    <row r="51">
      <c r="A51" s="4" t="inlineStr">
        <is>
          <t>Tab underside Z</t>
        </is>
      </c>
      <c r="B51" s="5" t="inlineStr">
        <is>
          <t>MG90S_tab_Z</t>
        </is>
      </c>
      <c r="C51" s="6" t="n">
        <v>18.5</v>
      </c>
      <c r="D51" s="7" t="inlineStr">
        <is>
          <t>Height from bottom to tab underside (mm)</t>
        </is>
      </c>
    </row>
    <row r="52">
      <c r="A52" s="4" t="inlineStr">
        <is>
          <t>Mounting hole dia</t>
        </is>
      </c>
      <c r="B52" s="5" t="inlineStr">
        <is>
          <t>MG90S_hole_D</t>
        </is>
      </c>
      <c r="C52" s="6" t="n">
        <v>2</v>
      </c>
      <c r="D52" s="7" t="inlineStr">
        <is>
          <t>Tab screw hole (mm)</t>
        </is>
      </c>
    </row>
    <row r="53">
      <c r="A53" s="4" t="inlineStr">
        <is>
          <t>Spline OD</t>
        </is>
      </c>
      <c r="B53" s="5" t="inlineStr">
        <is>
          <t>MG90S_spline_OD</t>
        </is>
      </c>
      <c r="C53" s="6" t="n">
        <v>4.8</v>
      </c>
      <c r="D53" s="7" t="inlineStr">
        <is>
          <t>Output shaft outer diameter (mm)</t>
        </is>
      </c>
    </row>
    <row r="55">
      <c r="A55" s="2" t="inlineStr">
        <is>
          <t>RASPBERRY PI PICO W</t>
        </is>
      </c>
      <c r="B55" s="3" t="n"/>
      <c r="C55" s="3" t="n"/>
      <c r="D55" s="3" t="n"/>
    </row>
    <row r="56">
      <c r="A56" s="4" t="inlineStr">
        <is>
          <t>Board length</t>
        </is>
      </c>
      <c r="B56" s="5" t="inlineStr">
        <is>
          <t>PICO_L</t>
        </is>
      </c>
      <c r="C56" s="6" t="n">
        <v>51</v>
      </c>
      <c r="D56" s="7" t="inlineStr">
        <is>
          <t>Long dimension (mm)</t>
        </is>
      </c>
    </row>
    <row r="57">
      <c r="A57" s="4" t="inlineStr">
        <is>
          <t>Board width</t>
        </is>
      </c>
      <c r="B57" s="5" t="inlineStr">
        <is>
          <t>PICO_W</t>
        </is>
      </c>
      <c r="C57" s="6" t="n">
        <v>21</v>
      </c>
      <c r="D57" s="7" t="inlineStr">
        <is>
          <t>Short dimension (mm)</t>
        </is>
      </c>
    </row>
    <row r="58">
      <c r="A58" s="4" t="inlineStr">
        <is>
          <t>Board thickness</t>
        </is>
      </c>
      <c r="B58" s="5" t="inlineStr">
        <is>
          <t>PICO_T</t>
        </is>
      </c>
      <c r="C58" s="6" t="n">
        <v>1</v>
      </c>
      <c r="D58" s="7" t="inlineStr">
        <is>
          <t>PCB only (mm)</t>
        </is>
      </c>
    </row>
    <row r="59">
      <c r="A59" s="4" t="inlineStr">
        <is>
          <t>Cavity height</t>
        </is>
      </c>
      <c r="B59" s="5" t="inlineStr">
        <is>
          <t>PICO_H</t>
        </is>
      </c>
      <c r="C59" s="6" t="n">
        <v>12</v>
      </c>
      <c r="D59" s="7" t="inlineStr">
        <is>
          <t>Including standoffs + component clearance (mm)</t>
        </is>
      </c>
    </row>
    <row r="60">
      <c r="A60" s="4" t="inlineStr">
        <is>
          <t>Mounting hole dia</t>
        </is>
      </c>
      <c r="B60" s="5" t="inlineStr">
        <is>
          <t>PICO_hole_D</t>
        </is>
      </c>
      <c r="C60" s="6" t="n">
        <v>2.1</v>
      </c>
      <c r="D60" s="7" t="inlineStr">
        <is>
          <t>4x M2 holes (mm)</t>
        </is>
      </c>
    </row>
    <row r="61">
      <c r="A61" s="4" t="inlineStr">
        <is>
          <t>Hole spacing (length)</t>
        </is>
      </c>
      <c r="B61" s="5" t="inlineStr">
        <is>
          <t>PICO_hole_L</t>
        </is>
      </c>
      <c r="C61" s="6" t="n">
        <v>47</v>
      </c>
      <c r="D61" s="7" t="inlineStr">
        <is>
          <t>Center-to-center, lengthwise (mm)</t>
        </is>
      </c>
    </row>
    <row r="62">
      <c r="A62" s="4" t="inlineStr">
        <is>
          <t>Hole spacing (width)</t>
        </is>
      </c>
      <c r="B62" s="5" t="inlineStr">
        <is>
          <t>PICO_hole_W</t>
        </is>
      </c>
      <c r="C62" s="6" t="n">
        <v>11.4</v>
      </c>
      <c r="D62" s="7" t="inlineStr">
        <is>
          <t>Center-to-center, widthwise (mm)</t>
        </is>
      </c>
    </row>
    <row r="63">
      <c r="A63" s="4" t="inlineStr">
        <is>
          <t>Hole from short edge</t>
        </is>
      </c>
      <c r="B63" s="5" t="inlineStr">
        <is>
          <t>PICO_hole_edge</t>
        </is>
      </c>
      <c r="C63" s="6" t="n">
        <v>2</v>
      </c>
      <c r="D63" s="7" t="inlineStr">
        <is>
          <t>Hole center from nearest short edge (mm)</t>
        </is>
      </c>
    </row>
    <row r="65">
      <c r="A65" s="2" t="inlineStr">
        <is>
          <t>COMPUTED VALUES (auto-calculated from above)</t>
        </is>
      </c>
      <c r="B65" s="3" t="n"/>
      <c r="C65" s="3" t="n"/>
      <c r="D65" s="3" t="n"/>
    </row>
    <row r="66">
      <c r="A66" s="4" t="inlineStr">
        <is>
          <t>SG90 cavity length</t>
        </is>
      </c>
      <c r="B66" s="5" t="inlineStr">
        <is>
          <t>SG90_cavity_L</t>
        </is>
      </c>
      <c r="C66" s="6" t="n">
        <v>23.3</v>
      </c>
      <c r="D66" s="7">
        <f> SG90_L + 2*C_wall</f>
        <v/>
      </c>
    </row>
    <row r="67">
      <c r="A67" s="4" t="inlineStr">
        <is>
          <t>SG90 cavity width</t>
        </is>
      </c>
      <c r="B67" s="5" t="inlineStr">
        <is>
          <t>SG90_cavity_W</t>
        </is>
      </c>
      <c r="C67" s="6" t="n">
        <v>12.8</v>
      </c>
      <c r="D67" s="7">
        <f> SG90_W + 2*C_wall</f>
        <v/>
      </c>
    </row>
    <row r="68">
      <c r="A68" s="4" t="inlineStr">
        <is>
          <t>SG90 cavity height</t>
        </is>
      </c>
      <c r="B68" s="5" t="inlineStr">
        <is>
          <t>SG90_cavity_H</t>
        </is>
      </c>
      <c r="C68" s="6" t="n">
        <v>27.6</v>
      </c>
      <c r="D68" s="7">
        <f> SG90_H + 2*C_wall</f>
        <v/>
      </c>
    </row>
    <row r="69">
      <c r="A69" s="4" t="inlineStr">
        <is>
          <t>MG90S cavity length</t>
        </is>
      </c>
      <c r="B69" s="5" t="inlineStr">
        <is>
          <t>MG90S_cavity_L</t>
        </is>
      </c>
      <c r="C69" s="6" t="n">
        <v>23.4</v>
      </c>
      <c r="D69" s="7">
        <f> MG90S_L + 2*C_wall</f>
        <v/>
      </c>
    </row>
    <row r="70">
      <c r="A70" s="4" t="inlineStr">
        <is>
          <t>MG90S cavity width</t>
        </is>
      </c>
      <c r="B70" s="5" t="inlineStr">
        <is>
          <t>MG90S_cavity_W</t>
        </is>
      </c>
      <c r="C70" s="6" t="n">
        <v>13</v>
      </c>
      <c r="D70" s="7">
        <f> MG90S_W + 2*C_wall</f>
        <v/>
      </c>
    </row>
    <row r="71">
      <c r="A71" s="4" t="inlineStr">
        <is>
          <t>MG90S cavity height</t>
        </is>
      </c>
      <c r="B71" s="5" t="inlineStr">
        <is>
          <t>MG90S_cavity_H</t>
        </is>
      </c>
      <c r="C71" s="6" t="n">
        <v>29</v>
      </c>
      <c r="D71" s="7">
        <f> MG90S_H + 2*C_wall</f>
        <v/>
      </c>
    </row>
    <row r="72">
      <c r="A72" s="4" t="inlineStr">
        <is>
          <t>Pico cavity length</t>
        </is>
      </c>
      <c r="B72" s="5" t="inlineStr">
        <is>
          <t>PICO_cavity_L</t>
        </is>
      </c>
      <c r="C72" s="6" t="n">
        <v>57</v>
      </c>
      <c r="D72" s="7">
        <f> PICO_L + 6</f>
        <v/>
      </c>
    </row>
    <row r="73">
      <c r="A73" s="4" t="inlineStr">
        <is>
          <t>Pico cavity width</t>
        </is>
      </c>
      <c r="B73" s="5" t="inlineStr">
        <is>
          <t>PICO_cavity_W</t>
        </is>
      </c>
      <c r="C73" s="6" t="n">
        <v>25</v>
      </c>
      <c r="D73" s="7">
        <f> PICO_W + 4</f>
        <v/>
      </c>
    </row>
    <row r="74">
      <c r="A74" s="4" t="inlineStr">
        <is>
          <t>Base top boundary Z</t>
        </is>
      </c>
      <c r="B74" s="5" t="inlineStr">
        <is>
          <t>BASE_TOP_Z</t>
        </is>
      </c>
      <c r="C74" s="6" t="n">
        <v>20</v>
      </c>
      <c r="D74" s="7">
        <f> WAIST_Z + 15</f>
        <v/>
      </c>
    </row>
    <row r="75">
      <c r="A75" s="4" t="inlineStr">
        <is>
          <t>Torso bottom Z</t>
        </is>
      </c>
      <c r="B75" s="5" t="inlineStr">
        <is>
          <t>TORSO_BOTTOM_Z</t>
        </is>
      </c>
      <c r="C75" s="6" t="n">
        <v>18</v>
      </c>
      <c r="D75" s="7">
        <f> BASE_TOP_Z - SECTION_OVERLAP</f>
        <v/>
      </c>
    </row>
    <row r="76">
      <c r="A76" s="4" t="inlineStr">
        <is>
          <t>Torso top Z</t>
        </is>
      </c>
      <c r="B76" s="5" t="inlineStr">
        <is>
          <t>TORSO_TOP_Z</t>
        </is>
      </c>
      <c r="C76" s="6" t="n">
        <v>60</v>
      </c>
      <c r="D76" s="7">
        <f> HEAD_PAN_Z - 5</f>
        <v/>
      </c>
    </row>
    <row r="77">
      <c r="A77" s="4" t="inlineStr">
        <is>
          <t>Head bottom Z</t>
        </is>
      </c>
      <c r="B77" s="5" t="inlineStr">
        <is>
          <t>HEAD_BOTTOM_Z</t>
        </is>
      </c>
      <c r="C77" s="6" t="n">
        <v>58</v>
      </c>
      <c r="D77" s="7">
        <f> TORSO_TOP_Z - SECTION_OVERLAP</f>
        <v/>
      </c>
    </row>
    <row r="78">
      <c r="A78" s="4" t="inlineStr">
        <is>
          <t>Skeleton total height</t>
        </is>
      </c>
      <c r="B78" s="5" t="inlineStr">
        <is>
          <t>SKEL_H_total</t>
        </is>
      </c>
      <c r="C78" s="6" t="n">
        <v>125.9</v>
      </c>
      <c r="D78" s="7">
        <f> HEAD_TILT_Z + SG90_H_total + C_wall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30" customWidth="1" min="3" max="3"/>
    <col width="40" customWidth="1" min="4" max="4"/>
  </cols>
  <sheetData>
    <row r="1">
      <c r="A1" s="8" t="inlineStr">
        <is>
          <t>Section</t>
        </is>
      </c>
      <c r="B1" s="8" t="inlineStr">
        <is>
          <t>Bottom/Inner Boundary</t>
        </is>
      </c>
      <c r="C1" s="8" t="inlineStr">
        <is>
          <t>Top/Outer Boundary</t>
        </is>
      </c>
      <c r="D1" s="8" t="inlineStr">
        <is>
          <t>Contains</t>
        </is>
      </c>
    </row>
    <row r="2">
      <c r="A2" s="9" t="inlineStr">
        <is>
          <t>base_section</t>
        </is>
      </c>
      <c r="B2" s="9" t="inlineStr">
        <is>
          <t>Z = -BASE_H (bottom of base)</t>
        </is>
      </c>
      <c r="C2" s="9" t="inlineStr">
        <is>
          <t>Z = BASE_TOP_Z</t>
        </is>
      </c>
      <c r="D2" s="9" t="inlineStr">
        <is>
          <t>Base plate + Pi Pico cavity + waist servo lower half</t>
        </is>
      </c>
    </row>
    <row r="3">
      <c r="A3" s="9" t="inlineStr">
        <is>
          <t>torso_section</t>
        </is>
      </c>
      <c r="B3" s="9" t="inlineStr">
        <is>
          <t>Z = TORSO_BOTTOM_Z</t>
        </is>
      </c>
      <c r="C3" s="9" t="inlineStr">
        <is>
          <t>Z = TORSO_TOP_Z</t>
        </is>
      </c>
      <c r="D3" s="9" t="inlineStr">
        <is>
          <t>Torso column + shoulder servo mount inner halves + wire channels</t>
        </is>
      </c>
    </row>
    <row r="4">
      <c r="A4" s="9" t="inlineStr">
        <is>
          <t>left_arm_section</t>
        </is>
      </c>
      <c r="B4" s="9" t="inlineStr">
        <is>
          <t>X = -ARM_INNER_OVERLAP_X (inner face)</t>
        </is>
      </c>
      <c r="C4" s="9" t="inlineStr">
        <is>
          <t>X = -SHOULDER_X - 25 (outer tip)</t>
        </is>
      </c>
      <c r="D4" s="9" t="inlineStr">
        <is>
          <t>Left shoulder servo housing + arm shaft tube</t>
        </is>
      </c>
    </row>
    <row r="5">
      <c r="A5" s="9" t="inlineStr">
        <is>
          <t>right_arm_section</t>
        </is>
      </c>
      <c r="B5" s="9" t="inlineStr">
        <is>
          <t>X = +ARM_INNER_OVERLAP_X (inner face)</t>
        </is>
      </c>
      <c r="C5" s="9" t="inlineStr">
        <is>
          <t>X = +SHOULDER_X + 25 (outer tip)</t>
        </is>
      </c>
      <c r="D5" s="9" t="inlineStr">
        <is>
          <t>Mirror of left arm</t>
        </is>
      </c>
    </row>
    <row r="6">
      <c r="A6" s="9" t="inlineStr">
        <is>
          <t>head_section</t>
        </is>
      </c>
      <c r="B6" s="9" t="inlineStr">
        <is>
          <t>Z = HEAD_BOTTOM_Z</t>
        </is>
      </c>
      <c r="C6" s="9" t="inlineStr">
        <is>
          <t>Z = SKEL_H_total</t>
        </is>
      </c>
      <c r="D6" s="9" t="inlineStr">
        <is>
          <t>Head pan + tilt servo stack + mounting plate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5" customWidth="1" min="3" max="3"/>
    <col width="40" customWidth="1" min="4" max="4"/>
  </cols>
  <sheetData>
    <row r="1">
      <c r="A1" s="8" t="inlineStr">
        <is>
          <t>Joint</t>
        </is>
      </c>
      <c r="B1" s="8" t="inlineStr">
        <is>
          <t>Axis</t>
        </is>
      </c>
      <c r="C1" s="8" t="inlineStr">
        <is>
          <t>Range</t>
        </is>
      </c>
      <c r="D1" s="8" t="inlineStr">
        <is>
          <t>Clearance Cut Description</t>
        </is>
      </c>
    </row>
    <row r="2">
      <c r="A2" s="9" t="inlineStr">
        <is>
          <t>Waist yaw</t>
        </is>
      </c>
      <c r="B2" s="9" t="inlineStr">
        <is>
          <t>Z</t>
        </is>
      </c>
      <c r="C2" s="9" t="inlineStr">
        <is>
          <t>±90°</t>
        </is>
      </c>
      <c r="D2" s="9" t="inlineStr">
        <is>
          <t>Annular ring at Z=BASE_TOP_Z, R_inner=15, R_outer=BASE_W/2, H=4mm</t>
        </is>
      </c>
    </row>
    <row r="3">
      <c r="A3" s="9" t="inlineStr">
        <is>
          <t>Head pan</t>
        </is>
      </c>
      <c r="B3" s="9" t="inlineStr">
        <is>
          <t>Z</t>
        </is>
      </c>
      <c r="C3" s="9" t="inlineStr">
        <is>
          <t>±90°</t>
        </is>
      </c>
      <c r="D3" s="9" t="inlineStr">
        <is>
          <t>Annular ring at Z=HEAD_BOTTOM_Z, R_inner=10, R_outer=20, H=4mm</t>
        </is>
      </c>
    </row>
    <row r="4">
      <c r="A4" s="9" t="inlineStr">
        <is>
          <t>Head tilt</t>
        </is>
      </c>
      <c r="B4" s="9" t="inlineStr">
        <is>
          <t>Y</t>
        </is>
      </c>
      <c r="C4" s="9" t="inlineStr">
        <is>
          <t>-30° to +30°</t>
        </is>
      </c>
      <c r="D4" s="9" t="inlineStr">
        <is>
          <t>Sector cut at tilt axis, 60° arc, R=25mm</t>
        </is>
      </c>
    </row>
    <row r="5">
      <c r="A5" s="9" t="inlineStr">
        <is>
          <t>Left shoulder</t>
        </is>
      </c>
      <c r="B5" s="9" t="inlineStr">
        <is>
          <t>Y</t>
        </is>
      </c>
      <c r="C5" s="9" t="inlineStr">
        <is>
          <t>±90°</t>
        </is>
      </c>
      <c r="D5" s="9" t="inlineStr">
        <is>
          <t>Sector cut around shaft, 180° arc, R=30mm</t>
        </is>
      </c>
    </row>
    <row r="6">
      <c r="A6" s="9" t="inlineStr">
        <is>
          <t>Right shoulder</t>
        </is>
      </c>
      <c r="B6" s="9" t="inlineStr">
        <is>
          <t>Y</t>
        </is>
      </c>
      <c r="C6" s="9" t="inlineStr">
        <is>
          <t>±90°</t>
        </is>
      </c>
      <c r="D6" s="9" t="inlineStr">
        <is>
          <t>Sector cut around shaft, 180° arc, R=30mm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2026-04-28T14:38:54Z</dcterms:created>
  <dcterms:modified xsi:type="dcterms:W3CDTF">2026-04-28T14:38:54Z</dcterms:modified>
</cp:coreProperties>
</file>